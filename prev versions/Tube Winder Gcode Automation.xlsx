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LAR" sheetId="1" r:id="rId5"/>
    <sheet state="visible" name="NON-CIRCULAR" sheetId="2" r:id="rId6"/>
  </sheets>
  <definedNames/>
  <calcPr/>
</workbook>
</file>

<file path=xl/sharedStrings.xml><?xml version="1.0" encoding="utf-8"?>
<sst xmlns="http://schemas.openxmlformats.org/spreadsheetml/2006/main" count="52" uniqueCount="29">
  <si>
    <t xml:space="preserve">Length </t>
  </si>
  <si>
    <t>Diameter</t>
  </si>
  <si>
    <t>Wrap Angle (deg)</t>
  </si>
  <si>
    <t>Layer #</t>
  </si>
  <si>
    <t>Radius</t>
  </si>
  <si>
    <t>Perimeter Length</t>
  </si>
  <si>
    <t>Wrap Angle (rad)</t>
  </si>
  <si>
    <t>Circumference</t>
  </si>
  <si>
    <t>tan(wrap angle)</t>
  </si>
  <si>
    <t>Arc Length</t>
  </si>
  <si>
    <t>Rotation (num)</t>
  </si>
  <si>
    <t>Rotation (rad)</t>
  </si>
  <si>
    <t>Rotation (deg)</t>
  </si>
  <si>
    <t>Area of Tube</t>
  </si>
  <si>
    <t>Area of tube</t>
  </si>
  <si>
    <t>Tow width</t>
  </si>
  <si>
    <t>Tow length per pass</t>
  </si>
  <si>
    <t>Area covered per pass</t>
  </si>
  <si>
    <t># passes/layer</t>
  </si>
  <si>
    <t>Layer thickness</t>
  </si>
  <si>
    <t># layers required</t>
  </si>
  <si>
    <t># Passes Req</t>
  </si>
  <si>
    <t>Tow shift</t>
  </si>
  <si>
    <t>360 Wrap</t>
  </si>
  <si>
    <t>X Travel/Pass (mm)</t>
  </si>
  <si>
    <t>Y Travel/Pass (deg)</t>
  </si>
  <si>
    <t># Passes</t>
  </si>
  <si>
    <t>Tow Shift (deg)</t>
  </si>
  <si>
    <t>GCODE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</si>
</sst>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8.13"/>
    <col customWidth="1" min="3" max="3" width="17.0"/>
    <col customWidth="1" min="5" max="5" width="14.88"/>
    <col customWidth="1" min="7" max="7" width="20.0"/>
  </cols>
  <sheetData>
    <row r="3">
      <c r="A3" s="1" t="s">
        <v>0</v>
      </c>
      <c r="B3" s="2">
        <v>700.0</v>
      </c>
      <c r="C3" s="1" t="s">
        <v>1</v>
      </c>
      <c r="D3" s="2">
        <v>27.0</v>
      </c>
      <c r="E3" s="1" t="s">
        <v>2</v>
      </c>
      <c r="F3" s="2">
        <v>45.0</v>
      </c>
      <c r="G3" s="1" t="s">
        <v>3</v>
      </c>
      <c r="H3" s="2">
        <v>8.0</v>
      </c>
    </row>
    <row r="4" outlineLevel="1"/>
    <row r="5" outlineLevel="1">
      <c r="A5" s="2" t="s">
        <v>4</v>
      </c>
      <c r="B5" s="3">
        <f>D3/2</f>
        <v>13.5</v>
      </c>
      <c r="C5" s="2" t="s">
        <v>7</v>
      </c>
      <c r="D5" s="2">
        <f>2*pi()*B5</f>
        <v>84.82300165</v>
      </c>
    </row>
    <row r="6" outlineLevel="1">
      <c r="A6" s="2" t="s">
        <v>6</v>
      </c>
      <c r="B6" s="3">
        <f>F3*(pi()/180)</f>
        <v>0.7853981634</v>
      </c>
      <c r="C6" s="2" t="s">
        <v>8</v>
      </c>
      <c r="D6" s="3">
        <f>tan(B6)</f>
        <v>1</v>
      </c>
    </row>
    <row r="7" outlineLevel="1">
      <c r="A7" s="2" t="s">
        <v>9</v>
      </c>
      <c r="B7" s="3">
        <f>B3*D6</f>
        <v>700</v>
      </c>
    </row>
    <row r="8" outlineLevel="1">
      <c r="A8" s="2" t="s">
        <v>11</v>
      </c>
      <c r="B8" s="3">
        <f>B7/B5</f>
        <v>51.85185185</v>
      </c>
      <c r="C8" s="2" t="s">
        <v>12</v>
      </c>
      <c r="D8" s="3">
        <f>B8*(180/pi())</f>
        <v>2970.892271</v>
      </c>
      <c r="E8" s="2" t="s">
        <v>10</v>
      </c>
      <c r="F8" s="3">
        <f>D8/360</f>
        <v>8.252478531</v>
      </c>
    </row>
    <row r="9" outlineLevel="1"/>
    <row r="10" outlineLevel="1">
      <c r="A10" s="2" t="s">
        <v>14</v>
      </c>
      <c r="B10" s="3">
        <f>B3*D5</f>
        <v>59376.10115</v>
      </c>
    </row>
    <row r="11" outlineLevel="1">
      <c r="A11" s="2" t="s">
        <v>15</v>
      </c>
      <c r="B11" s="2">
        <v>6.5</v>
      </c>
    </row>
    <row r="12" outlineLevel="1">
      <c r="A12" s="2" t="s">
        <v>16</v>
      </c>
      <c r="B12" s="3">
        <f>sqrt(B3^2+B7^2)</f>
        <v>989.9494937</v>
      </c>
      <c r="C12" s="2" t="s">
        <v>17</v>
      </c>
      <c r="D12" s="3">
        <f>B12*B11</f>
        <v>6434.671709</v>
      </c>
    </row>
    <row r="13" outlineLevel="1">
      <c r="A13" s="2" t="s">
        <v>18</v>
      </c>
      <c r="B13" s="3">
        <f>B10/D12</f>
        <v>9.227526102</v>
      </c>
    </row>
    <row r="14" outlineLevel="1"/>
    <row r="15" outlineLevel="1">
      <c r="A15" s="2" t="s">
        <v>19</v>
      </c>
      <c r="B15" s="2">
        <v>1.0</v>
      </c>
      <c r="C15" s="2" t="s">
        <v>20</v>
      </c>
      <c r="D15" s="3">
        <f>H3/B15</f>
        <v>8</v>
      </c>
      <c r="E15" s="4" t="s">
        <v>21</v>
      </c>
      <c r="F15" s="3">
        <f>D15*B13</f>
        <v>73.82020882</v>
      </c>
    </row>
    <row r="16" outlineLevel="1">
      <c r="A16" s="2" t="s">
        <v>22</v>
      </c>
      <c r="B16" s="3">
        <f>(360/(F19/2))</f>
        <v>9.72972973</v>
      </c>
      <c r="C16" s="2" t="s">
        <v>23</v>
      </c>
      <c r="D16" s="2">
        <v>360.0</v>
      </c>
    </row>
    <row r="17" outlineLevel="1"/>
    <row r="19">
      <c r="A19" s="5" t="s">
        <v>24</v>
      </c>
      <c r="B19" s="6">
        <f>B3</f>
        <v>700</v>
      </c>
      <c r="C19" s="5" t="s">
        <v>25</v>
      </c>
      <c r="D19" s="6">
        <f>roundup(D8,0)</f>
        <v>2971</v>
      </c>
      <c r="E19" s="5" t="s">
        <v>26</v>
      </c>
      <c r="F19" s="6">
        <f>ceiling(F15, 2)</f>
        <v>74</v>
      </c>
      <c r="G19" s="5" t="s">
        <v>27</v>
      </c>
      <c r="H19" s="6">
        <f>round(B16+D16,0)</f>
        <v>370</v>
      </c>
    </row>
    <row r="21" outlineLevel="1">
      <c r="A21" s="7" t="str">
        <f>"G01 X"&amp;B19&amp;" Y"&amp;D19&amp;""</f>
        <v>G01 X700 Y2971</v>
      </c>
      <c r="B21" s="3" t="str">
        <f>"G01 Y360 Z-140"</f>
        <v>G01 Y360 Z-140</v>
      </c>
      <c r="C21" s="7" t="str">
        <f>"G01 X-"&amp;B19&amp;" Y"&amp;D19&amp;""</f>
        <v>G01 X-700 Y2971</v>
      </c>
      <c r="D21" s="8" t="str">
        <f>"G01 Y"&amp;H19&amp;" Z140"</f>
        <v>G01 Y370 Z140</v>
      </c>
      <c r="G21" s="7"/>
    </row>
    <row r="22">
      <c r="A22" s="9" t="s">
        <v>28</v>
      </c>
      <c r="B22" s="3" t="str">
        <f>rept(concatenate(A21, CHAR(10), B21, CHAR(10), C21, CHAR(10), D21, CHAR(10), CHAR(10)), (F19/2))</f>
        <v>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G01 X700 Y2971
G01 Y360 Z-140
G01 X-700 Y2971
G01 Y370 Z140
</v>
      </c>
    </row>
    <row r="23">
      <c r="D23" s="7"/>
      <c r="E23" s="7"/>
    </row>
    <row r="24">
      <c r="D24" s="7"/>
      <c r="E24" s="7"/>
    </row>
    <row r="25">
      <c r="C25" s="7"/>
      <c r="D25" s="7"/>
      <c r="E2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8.13"/>
    <col customWidth="1" min="3" max="3" width="17.0"/>
    <col customWidth="1" min="5" max="5" width="14.88"/>
    <col customWidth="1" min="7" max="7" width="20.0"/>
    <col customWidth="1" min="9" max="9" width="15.75"/>
  </cols>
  <sheetData>
    <row r="3">
      <c r="A3" s="1" t="s">
        <v>0</v>
      </c>
      <c r="B3" s="2">
        <v>700.0</v>
      </c>
      <c r="C3" s="1" t="s">
        <v>5</v>
      </c>
      <c r="D3" s="2">
        <v>71.364</v>
      </c>
      <c r="E3" s="1" t="s">
        <v>2</v>
      </c>
      <c r="F3" s="2">
        <v>60.0</v>
      </c>
      <c r="G3" s="1" t="s">
        <v>3</v>
      </c>
      <c r="H3" s="2">
        <v>8.0</v>
      </c>
    </row>
    <row r="4" outlineLevel="1"/>
    <row r="5" outlineLevel="1"/>
    <row r="6" outlineLevel="1">
      <c r="A6" s="2" t="s">
        <v>6</v>
      </c>
      <c r="B6" s="3">
        <f>F3*(pi()/180)</f>
        <v>1.047197551</v>
      </c>
      <c r="C6" s="2" t="s">
        <v>8</v>
      </c>
      <c r="D6" s="3">
        <f>tan(B6)</f>
        <v>1.732050808</v>
      </c>
    </row>
    <row r="7" outlineLevel="1">
      <c r="A7" s="2" t="s">
        <v>9</v>
      </c>
      <c r="B7" s="3">
        <f>B3*D6</f>
        <v>1212.435565</v>
      </c>
    </row>
    <row r="8" outlineLevel="1">
      <c r="A8" s="2" t="s">
        <v>10</v>
      </c>
      <c r="B8" s="3">
        <f>B7/D3</f>
        <v>16.98945638</v>
      </c>
      <c r="C8" s="2" t="s">
        <v>11</v>
      </c>
      <c r="D8" s="3">
        <f>B8*(2*pi())</f>
        <v>106.7479027</v>
      </c>
      <c r="E8" s="2" t="s">
        <v>12</v>
      </c>
      <c r="F8" s="3">
        <f>D8*(180/pi())</f>
        <v>6116.204298</v>
      </c>
    </row>
    <row r="9" outlineLevel="1"/>
    <row r="10" outlineLevel="1">
      <c r="A10" s="2" t="s">
        <v>13</v>
      </c>
      <c r="B10" s="3">
        <f>B3*D3</f>
        <v>49954.8</v>
      </c>
    </row>
    <row r="11" outlineLevel="1">
      <c r="A11" s="2" t="s">
        <v>15</v>
      </c>
      <c r="B11" s="2">
        <v>6.5</v>
      </c>
    </row>
    <row r="12" outlineLevel="1">
      <c r="A12" s="2" t="s">
        <v>16</v>
      </c>
      <c r="B12" s="3">
        <f>sqrt(B3^2+B7^2)</f>
        <v>1400</v>
      </c>
      <c r="C12" s="2" t="s">
        <v>17</v>
      </c>
      <c r="D12" s="3">
        <f>B12*B11</f>
        <v>9100</v>
      </c>
    </row>
    <row r="13" outlineLevel="1">
      <c r="A13" s="2" t="s">
        <v>18</v>
      </c>
      <c r="B13" s="3">
        <f>B10/D12</f>
        <v>5.489538462</v>
      </c>
    </row>
    <row r="14" outlineLevel="1"/>
    <row r="15" outlineLevel="1">
      <c r="A15" s="2" t="s">
        <v>19</v>
      </c>
      <c r="B15" s="2">
        <v>1.0</v>
      </c>
      <c r="C15" s="2" t="s">
        <v>20</v>
      </c>
      <c r="D15" s="3">
        <f>H3/B15</f>
        <v>8</v>
      </c>
      <c r="E15" s="4" t="s">
        <v>21</v>
      </c>
      <c r="F15" s="3">
        <f>D15*B13</f>
        <v>43.91630769</v>
      </c>
    </row>
    <row r="16" outlineLevel="1">
      <c r="A16" s="2" t="s">
        <v>22</v>
      </c>
      <c r="B16" s="3">
        <f>(360/(F19/2))</f>
        <v>16.36363636</v>
      </c>
      <c r="C16" s="2" t="s">
        <v>23</v>
      </c>
      <c r="D16" s="2">
        <v>360.0</v>
      </c>
    </row>
    <row r="17" outlineLevel="1"/>
    <row r="19">
      <c r="A19" s="5" t="s">
        <v>24</v>
      </c>
      <c r="B19" s="6">
        <f>B3</f>
        <v>700</v>
      </c>
      <c r="C19" s="5" t="s">
        <v>25</v>
      </c>
      <c r="D19" s="6">
        <f>roundup(F8,0)</f>
        <v>6117</v>
      </c>
      <c r="E19" s="5" t="s">
        <v>26</v>
      </c>
      <c r="F19" s="6">
        <f>ceiling(F15, 2)</f>
        <v>44</v>
      </c>
      <c r="G19" s="5" t="s">
        <v>27</v>
      </c>
      <c r="H19" s="6">
        <f>round(B16+D16,0)</f>
        <v>376</v>
      </c>
    </row>
    <row r="20" collapsed="1"/>
    <row r="21" hidden="1" outlineLevel="1">
      <c r="A21" s="7" t="str">
        <f>"G01 X"&amp;B19&amp;" Y"&amp;D19&amp;""</f>
        <v>G01 X700 Y6117</v>
      </c>
      <c r="B21" s="3" t="str">
        <f>"G01 Y360 Z-140"</f>
        <v>G01 Y360 Z-140</v>
      </c>
      <c r="C21" s="7" t="str">
        <f>"G01 X-"&amp;B19&amp;" Y"&amp;D19&amp;""</f>
        <v>G01 X-700 Y6117</v>
      </c>
      <c r="D21" s="8" t="str">
        <f>"G01 Y"&amp;H19&amp;" Z140"</f>
        <v>G01 Y376 Z140</v>
      </c>
      <c r="G21" s="7"/>
    </row>
    <row r="22">
      <c r="A22" s="9" t="s">
        <v>28</v>
      </c>
      <c r="B22" s="3" t="str">
        <f>rept(concatenate(A21, CHAR(10), B21, CHAR(10), C21, CHAR(10), D21, CHAR(10), CHAR(10)), (F19/2))</f>
        <v>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G01 X700 Y6117
G01 Y360 Z-140
G01 X-700 Y6117
G01 Y376 Z140
</v>
      </c>
    </row>
    <row r="23">
      <c r="D23" s="7"/>
      <c r="E23" s="7"/>
    </row>
    <row r="24">
      <c r="D24" s="7"/>
      <c r="E24" s="7"/>
    </row>
    <row r="25">
      <c r="C25" s="7"/>
      <c r="D25" s="7"/>
      <c r="E25" s="7"/>
    </row>
  </sheetData>
  <drawing r:id="rId1"/>
</worksheet>
</file>